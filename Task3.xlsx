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ask3 ContentionExperi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1" i="1"/>
  <c r="I12" i="1"/>
  <c r="I14" i="1"/>
  <c r="I15" i="1"/>
  <c r="I17" i="1"/>
  <c r="I18" i="1"/>
  <c r="I20" i="1"/>
  <c r="I21" i="1"/>
  <c r="I23" i="1"/>
  <c r="I24" i="1"/>
  <c r="I26" i="1"/>
  <c r="I27" i="1"/>
  <c r="I29" i="1"/>
  <c r="I30" i="1"/>
  <c r="I32" i="1"/>
  <c r="I33" i="1"/>
  <c r="I35" i="1"/>
  <c r="I36" i="1"/>
  <c r="I8" i="1"/>
</calcChain>
</file>

<file path=xl/sharedStrings.xml><?xml version="1.0" encoding="utf-8"?>
<sst xmlns="http://schemas.openxmlformats.org/spreadsheetml/2006/main" count="25" uniqueCount="17">
  <si>
    <t>Threads</t>
  </si>
  <si>
    <t>TAS</t>
  </si>
  <si>
    <t>TTAS</t>
  </si>
  <si>
    <t>run 1</t>
  </si>
  <si>
    <t>run 2</t>
  </si>
  <si>
    <t>run 3</t>
  </si>
  <si>
    <t>run 4</t>
  </si>
  <si>
    <t>run 5</t>
  </si>
  <si>
    <t>CONTENTION EXPERIMENT</t>
  </si>
  <si>
    <t xml:space="preserve">Student Names and Numbers: </t>
  </si>
  <si>
    <t>Kiara Ajodhaparsadh  (u25395344)</t>
  </si>
  <si>
    <t>Execution Time&amp; TestAndSet Calls</t>
  </si>
  <si>
    <t>Average</t>
  </si>
  <si>
    <t>Ajba Patel  (u25316584)</t>
  </si>
  <si>
    <t>Lesedi Shelile  (u25110455)</t>
  </si>
  <si>
    <t>LOCK</t>
  </si>
  <si>
    <t xml:space="preserve">
3223190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</si>
</sst>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5" borderId="0" xfId="0" applyFill="1"/>
    <xf numFmtId="0" fontId="1" fillId="0" borderId="0" xfId="0" applyFont="1" applyAlignment="1"/>
    <xf numFmtId="0" fontId="0" fillId="2" borderId="4" xfId="0" applyFill="1" applyBorder="1"/>
    <xf numFmtId="0" fontId="0" fillId="4" borderId="4" xfId="0" applyFill="1" applyBorder="1"/>
    <xf numFmtId="0" fontId="2" fillId="3" borderId="4" xfId="0" applyFont="1" applyFill="1" applyBorder="1"/>
    <xf numFmtId="0" fontId="0" fillId="0" borderId="0" xfId="0" applyBorder="1"/>
    <xf numFmtId="0" fontId="0" fillId="2" borderId="8" xfId="0" applyFill="1" applyBorder="1"/>
    <xf numFmtId="0" fontId="0" fillId="4" borderId="8" xfId="0" applyFill="1" applyBorder="1"/>
    <xf numFmtId="0" fontId="2" fillId="3" borderId="5" xfId="0" applyFont="1" applyFill="1" applyBorder="1"/>
    <xf numFmtId="0" fontId="0" fillId="4" borderId="9" xfId="0" applyFill="1" applyBorder="1"/>
    <xf numFmtId="0" fontId="0" fillId="0" borderId="0" xfId="0" applyAlignment="1"/>
    <xf numFmtId="0" fontId="0" fillId="5" borderId="0" xfId="0" applyFill="1" applyBorder="1"/>
    <xf numFmtId="0" fontId="0" fillId="4" borderId="12" xfId="0" applyFill="1" applyBorder="1"/>
    <xf numFmtId="0" fontId="0" fillId="2" borderId="12" xfId="0" applyFill="1" applyBorder="1"/>
    <xf numFmtId="0" fontId="0" fillId="2" borderId="14" xfId="0" applyFill="1" applyBorder="1"/>
    <xf numFmtId="0" fontId="0" fillId="2" borderId="15" xfId="0" applyFill="1" applyBorder="1"/>
    <xf numFmtId="0" fontId="0" fillId="4" borderId="17" xfId="0" applyFill="1" applyBorder="1"/>
    <xf numFmtId="0" fontId="0" fillId="4" borderId="5" xfId="0" applyFill="1" applyBorder="1"/>
    <xf numFmtId="0" fontId="0" fillId="2" borderId="5" xfId="0" applyFill="1" applyBorder="1"/>
    <xf numFmtId="0" fontId="0" fillId="2" borderId="18" xfId="0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0" fillId="4" borderId="20" xfId="0" applyFill="1" applyBorder="1"/>
    <xf numFmtId="0" fontId="2" fillId="3" borderId="7" xfId="0" applyFont="1" applyFill="1" applyBorder="1"/>
    <xf numFmtId="0" fontId="0" fillId="4" borderId="7" xfId="0" applyFill="1" applyBorder="1"/>
    <xf numFmtId="0" fontId="0" fillId="2" borderId="7" xfId="0" applyFill="1" applyBorder="1"/>
    <xf numFmtId="0" fontId="0" fillId="2" borderId="22" xfId="0" applyFill="1" applyBorder="1"/>
    <xf numFmtId="0" fontId="0" fillId="4" borderId="23" xfId="0" applyFill="1" applyBorder="1"/>
    <xf numFmtId="0" fontId="2" fillId="3" borderId="26" xfId="0" applyFont="1" applyFill="1" applyBorder="1"/>
    <xf numFmtId="0" fontId="2" fillId="3" borderId="27" xfId="0" applyFont="1" applyFill="1" applyBorder="1"/>
    <xf numFmtId="0" fontId="1" fillId="4" borderId="24" xfId="0" applyFont="1" applyFill="1" applyBorder="1"/>
    <xf numFmtId="0" fontId="1" fillId="4" borderId="13" xfId="0" applyFont="1" applyFill="1" applyBorder="1"/>
    <xf numFmtId="0" fontId="1" fillId="2" borderId="13" xfId="0" applyFont="1" applyFill="1" applyBorder="1"/>
    <xf numFmtId="0" fontId="1" fillId="2" borderId="16" xfId="0" applyFont="1" applyFill="1" applyBorder="1"/>
    <xf numFmtId="0" fontId="0" fillId="4" borderId="6" xfId="0" applyFill="1" applyBorder="1"/>
    <xf numFmtId="0" fontId="0" fillId="2" borderId="9" xfId="0" applyFill="1" applyBorder="1"/>
    <xf numFmtId="0" fontId="0" fillId="4" borderId="28" xfId="0" applyFill="1" applyBorder="1"/>
    <xf numFmtId="0" fontId="1" fillId="4" borderId="29" xfId="0" applyFont="1" applyFill="1" applyBorder="1"/>
    <xf numFmtId="0" fontId="0" fillId="4" borderId="10" xfId="0" applyFill="1" applyBorder="1"/>
    <xf numFmtId="0" fontId="0" fillId="4" borderId="30" xfId="0" applyFill="1" applyBorder="1"/>
    <xf numFmtId="0" fontId="0" fillId="4" borderId="31" xfId="0" applyFill="1" applyBorder="1"/>
    <xf numFmtId="0" fontId="0" fillId="2" borderId="23" xfId="0" applyFill="1" applyBorder="1"/>
    <xf numFmtId="0" fontId="1" fillId="2" borderId="24" xfId="0" applyFont="1" applyFill="1" applyBorder="1"/>
    <xf numFmtId="0" fontId="0" fillId="2" borderId="25" xfId="0" applyFill="1" applyBorder="1"/>
    <xf numFmtId="0" fontId="0" fillId="2" borderId="17" xfId="0" applyFill="1" applyBorder="1"/>
    <xf numFmtId="0" fontId="0" fillId="4" borderId="32" xfId="0" applyFill="1" applyBorder="1"/>
    <xf numFmtId="0" fontId="0" fillId="2" borderId="28" xfId="0" applyFill="1" applyBorder="1"/>
    <xf numFmtId="0" fontId="1" fillId="2" borderId="29" xfId="0" applyFont="1" applyFill="1" applyBorder="1"/>
    <xf numFmtId="0" fontId="0" fillId="2" borderId="10" xfId="0" applyFill="1" applyBorder="1"/>
    <xf numFmtId="0" fontId="0" fillId="2" borderId="30" xfId="0" applyFill="1" applyBorder="1"/>
    <xf numFmtId="0" fontId="0" fillId="4" borderId="25" xfId="0" applyFill="1" applyBorder="1"/>
    <xf numFmtId="0" fontId="0" fillId="2" borderId="6" xfId="0" applyFill="1" applyBorder="1"/>
    <xf numFmtId="0" fontId="0" fillId="4" borderId="33" xfId="0" applyFill="1" applyBorder="1"/>
    <xf numFmtId="0" fontId="1" fillId="4" borderId="34" xfId="0" applyFont="1" applyFill="1" applyBorder="1"/>
    <xf numFmtId="0" fontId="0" fillId="2" borderId="33" xfId="0" applyFill="1" applyBorder="1"/>
    <xf numFmtId="0" fontId="1" fillId="2" borderId="34" xfId="0" applyFont="1" applyFill="1" applyBorder="1"/>
    <xf numFmtId="0" fontId="0" fillId="4" borderId="30" xfId="0" applyFill="1" applyBorder="1" applyAlignment="1">
      <alignment wrapText="1"/>
    </xf>
    <xf numFmtId="0" fontId="2" fillId="3" borderId="1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2" borderId="32" xfId="0" applyFill="1" applyBorder="1"/>
    <xf numFmtId="0" fontId="0" fillId="2" borderId="20" xfId="0" applyFill="1" applyBorder="1"/>
    <xf numFmtId="0" fontId="0" fillId="2" borderId="31" xfId="0" applyFill="1" applyBorder="1"/>
    <xf numFmtId="0" fontId="0" fillId="2" borderId="2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GridLines="0" tabSelected="1" zoomScale="95" workbookViewId="0">
      <selection activeCell="I2" sqref="I2"/>
    </sheetView>
  </sheetViews>
  <sheetFormatPr defaultRowHeight="14.5" x14ac:dyDescent="0.35"/>
  <cols>
    <col min="1" max="1" width="3.7265625" customWidth="1"/>
    <col min="2" max="2" width="11.08984375" customWidth="1"/>
    <col min="3" max="3" width="9.81640625" customWidth="1"/>
    <col min="4" max="5" width="8.7265625" customWidth="1"/>
    <col min="6" max="6" width="11.7265625" bestFit="1" customWidth="1"/>
    <col min="7" max="8" width="10.54296875" bestFit="1" customWidth="1"/>
    <col min="9" max="9" width="31.453125" style="1" bestFit="1" customWidth="1"/>
    <col min="10" max="10" width="3.453125" customWidth="1"/>
  </cols>
  <sheetData>
    <row r="1" spans="2:13" x14ac:dyDescent="0.35">
      <c r="B1" s="2" t="s">
        <v>8</v>
      </c>
      <c r="C1" s="2"/>
      <c r="D1" s="2"/>
    </row>
    <row r="2" spans="2:13" x14ac:dyDescent="0.35">
      <c r="B2" t="s">
        <v>9</v>
      </c>
      <c r="E2" s="11" t="s">
        <v>10</v>
      </c>
      <c r="F2" s="11"/>
      <c r="G2" s="11"/>
    </row>
    <row r="3" spans="2:13" x14ac:dyDescent="0.35">
      <c r="E3" s="62" t="s">
        <v>13</v>
      </c>
      <c r="F3" s="62"/>
      <c r="G3" s="11"/>
    </row>
    <row r="4" spans="2:13" x14ac:dyDescent="0.35">
      <c r="E4" s="63" t="s">
        <v>14</v>
      </c>
      <c r="F4" s="63"/>
      <c r="G4" s="63"/>
    </row>
    <row r="5" spans="2:13" ht="15" thickBot="1" x14ac:dyDescent="0.4"/>
    <row r="6" spans="2:13" s="1" customFormat="1" ht="15.5" customHeight="1" x14ac:dyDescent="0.35">
      <c r="B6" s="60"/>
      <c r="C6" s="61"/>
      <c r="D6" s="58" t="s">
        <v>11</v>
      </c>
      <c r="E6" s="58"/>
      <c r="F6" s="58"/>
      <c r="G6" s="58"/>
      <c r="H6" s="59"/>
      <c r="I6" s="21" t="s">
        <v>12</v>
      </c>
    </row>
    <row r="7" spans="2:13" s="1" customFormat="1" ht="15.5" customHeight="1" x14ac:dyDescent="0.35">
      <c r="B7" s="29" t="s">
        <v>0</v>
      </c>
      <c r="C7" s="30" t="s">
        <v>15</v>
      </c>
      <c r="D7" s="24" t="s">
        <v>3</v>
      </c>
      <c r="E7" s="5" t="s">
        <v>4</v>
      </c>
      <c r="F7" s="5" t="s">
        <v>5</v>
      </c>
      <c r="G7" s="9" t="s">
        <v>6</v>
      </c>
      <c r="H7" s="9" t="s">
        <v>7</v>
      </c>
      <c r="I7" s="22"/>
    </row>
    <row r="8" spans="2:13" s="1" customFormat="1" ht="15.5" customHeight="1" x14ac:dyDescent="0.35">
      <c r="B8" s="28">
        <v>2</v>
      </c>
      <c r="C8" s="31" t="s">
        <v>1</v>
      </c>
      <c r="D8" s="25">
        <v>160</v>
      </c>
      <c r="E8" s="4">
        <v>206</v>
      </c>
      <c r="F8" s="4">
        <v>127</v>
      </c>
      <c r="G8" s="4">
        <v>98</v>
      </c>
      <c r="H8" s="17">
        <v>184</v>
      </c>
      <c r="I8" s="23">
        <f>AVERAGE(D8:H8)</f>
        <v>155</v>
      </c>
    </row>
    <row r="9" spans="2:13" s="1" customFormat="1" ht="15.5" customHeight="1" x14ac:dyDescent="0.35">
      <c r="B9" s="37"/>
      <c r="C9" s="38"/>
      <c r="D9" s="39">
        <v>3013644</v>
      </c>
      <c r="E9" s="8">
        <v>3033131</v>
      </c>
      <c r="F9" s="8">
        <v>2954189</v>
      </c>
      <c r="G9" s="8">
        <v>2425192</v>
      </c>
      <c r="H9" s="57" t="s">
        <v>16</v>
      </c>
      <c r="I9" s="41">
        <f t="shared" ref="I9:I36" si="0">AVERAGE(D9:H9)</f>
        <v>2856539</v>
      </c>
    </row>
    <row r="10" spans="2:13" s="1" customFormat="1" ht="15.5" customHeight="1" x14ac:dyDescent="0.35">
      <c r="B10" s="53"/>
      <c r="C10" s="54"/>
      <c r="D10" s="35"/>
      <c r="E10" s="35"/>
      <c r="F10" s="35"/>
      <c r="G10" s="35"/>
      <c r="H10" s="35"/>
      <c r="I10" s="23"/>
    </row>
    <row r="11" spans="2:13" s="1" customFormat="1" ht="15.5" customHeight="1" x14ac:dyDescent="0.35">
      <c r="B11" s="42">
        <v>2</v>
      </c>
      <c r="C11" s="43" t="s">
        <v>2</v>
      </c>
      <c r="D11" s="44">
        <v>129</v>
      </c>
      <c r="E11" s="36">
        <v>119</v>
      </c>
      <c r="F11" s="36">
        <v>123</v>
      </c>
      <c r="G11" s="36">
        <v>119</v>
      </c>
      <c r="H11" s="45">
        <v>175</v>
      </c>
      <c r="I11" s="64">
        <f t="shared" si="0"/>
        <v>133</v>
      </c>
    </row>
    <row r="12" spans="2:13" s="1" customFormat="1" ht="15.5" customHeight="1" x14ac:dyDescent="0.35">
      <c r="B12" s="14"/>
      <c r="C12" s="33"/>
      <c r="D12" s="26">
        <v>2015928</v>
      </c>
      <c r="E12" s="3">
        <v>2025168</v>
      </c>
      <c r="F12" s="3">
        <v>2021820</v>
      </c>
      <c r="G12" s="3">
        <v>2016050</v>
      </c>
      <c r="H12" s="19">
        <v>2009653</v>
      </c>
      <c r="I12" s="65">
        <f t="shared" si="0"/>
        <v>2017723.8</v>
      </c>
    </row>
    <row r="13" spans="2:13" s="1" customFormat="1" ht="15.5" customHeight="1" x14ac:dyDescent="0.35">
      <c r="B13" s="14"/>
      <c r="C13" s="33"/>
      <c r="D13" s="26"/>
      <c r="E13" s="3"/>
      <c r="F13" s="3"/>
      <c r="G13" s="3"/>
      <c r="H13" s="19"/>
      <c r="I13" s="65"/>
    </row>
    <row r="14" spans="2:13" s="1" customFormat="1" ht="15.5" customHeight="1" x14ac:dyDescent="0.35">
      <c r="B14" s="13">
        <v>4</v>
      </c>
      <c r="C14" s="32" t="s">
        <v>1</v>
      </c>
      <c r="D14" s="25">
        <v>688</v>
      </c>
      <c r="E14" s="4">
        <v>616</v>
      </c>
      <c r="F14" s="4">
        <v>627</v>
      </c>
      <c r="G14" s="4">
        <v>524</v>
      </c>
      <c r="H14" s="18">
        <v>436</v>
      </c>
      <c r="I14" s="23">
        <f t="shared" si="0"/>
        <v>578.20000000000005</v>
      </c>
      <c r="M14" s="12"/>
    </row>
    <row r="15" spans="2:13" s="1" customFormat="1" ht="15.5" customHeight="1" x14ac:dyDescent="0.35">
      <c r="B15" s="37"/>
      <c r="C15" s="38"/>
      <c r="D15" s="39">
        <v>10724919</v>
      </c>
      <c r="E15" s="8">
        <v>7733428</v>
      </c>
      <c r="F15" s="8">
        <v>7029419</v>
      </c>
      <c r="G15" s="8">
        <v>9274223</v>
      </c>
      <c r="H15" s="40">
        <v>8521116</v>
      </c>
      <c r="I15" s="41">
        <f t="shared" si="0"/>
        <v>8656621</v>
      </c>
    </row>
    <row r="16" spans="2:13" s="1" customFormat="1" ht="15.5" customHeight="1" x14ac:dyDescent="0.35">
      <c r="B16" s="53"/>
      <c r="C16" s="54"/>
      <c r="D16" s="35"/>
      <c r="E16" s="35"/>
      <c r="F16" s="35"/>
      <c r="G16" s="35"/>
      <c r="H16" s="35"/>
      <c r="I16" s="23"/>
    </row>
    <row r="17" spans="2:9" s="1" customFormat="1" ht="15.5" customHeight="1" x14ac:dyDescent="0.35">
      <c r="B17" s="42">
        <v>4</v>
      </c>
      <c r="C17" s="43" t="s">
        <v>2</v>
      </c>
      <c r="D17" s="44">
        <v>432</v>
      </c>
      <c r="E17" s="36">
        <v>470</v>
      </c>
      <c r="F17" s="36">
        <v>316</v>
      </c>
      <c r="G17" s="36">
        <v>611</v>
      </c>
      <c r="H17" s="45">
        <v>483</v>
      </c>
      <c r="I17" s="64">
        <f t="shared" si="0"/>
        <v>462.4</v>
      </c>
    </row>
    <row r="18" spans="2:9" s="1" customFormat="1" ht="15.5" customHeight="1" x14ac:dyDescent="0.35">
      <c r="B18" s="47"/>
      <c r="C18" s="48"/>
      <c r="D18" s="49">
        <v>4288674</v>
      </c>
      <c r="E18" s="7">
        <v>4167163</v>
      </c>
      <c r="F18" s="7">
        <v>4162649</v>
      </c>
      <c r="G18" s="7">
        <v>4268492</v>
      </c>
      <c r="H18" s="50">
        <v>4202048</v>
      </c>
      <c r="I18" s="66">
        <f t="shared" si="0"/>
        <v>4217805.2</v>
      </c>
    </row>
    <row r="19" spans="2:9" s="1" customFormat="1" ht="15.5" customHeight="1" x14ac:dyDescent="0.35">
      <c r="B19" s="55"/>
      <c r="C19" s="56"/>
      <c r="D19" s="52"/>
      <c r="E19" s="52"/>
      <c r="F19" s="52"/>
      <c r="G19" s="52"/>
      <c r="H19" s="52"/>
      <c r="I19" s="65"/>
    </row>
    <row r="20" spans="2:9" s="1" customFormat="1" ht="15.5" customHeight="1" x14ac:dyDescent="0.35">
      <c r="B20" s="28">
        <v>8</v>
      </c>
      <c r="C20" s="31" t="s">
        <v>1</v>
      </c>
      <c r="D20" s="51">
        <v>2280</v>
      </c>
      <c r="E20" s="10">
        <v>2355</v>
      </c>
      <c r="F20" s="10">
        <v>1739</v>
      </c>
      <c r="G20" s="10">
        <v>1842</v>
      </c>
      <c r="H20" s="17">
        <v>2015</v>
      </c>
      <c r="I20" s="46">
        <f t="shared" si="0"/>
        <v>2046.2</v>
      </c>
    </row>
    <row r="21" spans="2:9" s="1" customFormat="1" ht="15.5" customHeight="1" x14ac:dyDescent="0.35">
      <c r="B21" s="37"/>
      <c r="C21" s="38"/>
      <c r="D21" s="39">
        <v>29073011</v>
      </c>
      <c r="E21" s="8">
        <v>27244584</v>
      </c>
      <c r="F21" s="8">
        <v>30432960</v>
      </c>
      <c r="G21" s="8">
        <v>23052519</v>
      </c>
      <c r="H21" s="57">
        <v>23765232</v>
      </c>
      <c r="I21" s="41">
        <f t="shared" si="0"/>
        <v>26713661.199999999</v>
      </c>
    </row>
    <row r="22" spans="2:9" s="1" customFormat="1" ht="15.5" customHeight="1" x14ac:dyDescent="0.35">
      <c r="B22" s="53"/>
      <c r="C22" s="54"/>
      <c r="D22" s="35"/>
      <c r="E22" s="35"/>
      <c r="F22" s="35"/>
      <c r="G22" s="35"/>
      <c r="H22" s="35"/>
      <c r="I22" s="23"/>
    </row>
    <row r="23" spans="2:9" s="1" customFormat="1" ht="15.5" customHeight="1" x14ac:dyDescent="0.35">
      <c r="B23" s="42">
        <v>8</v>
      </c>
      <c r="C23" s="43" t="s">
        <v>2</v>
      </c>
      <c r="D23" s="44">
        <v>1233</v>
      </c>
      <c r="E23" s="36">
        <v>1500</v>
      </c>
      <c r="F23" s="36">
        <v>2281</v>
      </c>
      <c r="G23" s="36">
        <v>1822</v>
      </c>
      <c r="H23" s="45">
        <v>2140</v>
      </c>
      <c r="I23" s="64">
        <f t="shared" si="0"/>
        <v>1795.2</v>
      </c>
    </row>
    <row r="24" spans="2:9" s="1" customFormat="1" ht="15.5" customHeight="1" x14ac:dyDescent="0.35">
      <c r="B24" s="47"/>
      <c r="C24" s="48"/>
      <c r="D24" s="49">
        <v>8709783</v>
      </c>
      <c r="E24" s="7">
        <v>8745542</v>
      </c>
      <c r="F24" s="7">
        <v>8910226</v>
      </c>
      <c r="G24" s="7">
        <v>10164954</v>
      </c>
      <c r="H24" s="50">
        <v>9132874</v>
      </c>
      <c r="I24" s="66">
        <f t="shared" si="0"/>
        <v>9132675.8000000007</v>
      </c>
    </row>
    <row r="25" spans="2:9" s="1" customFormat="1" ht="15.5" customHeight="1" x14ac:dyDescent="0.35">
      <c r="B25" s="55"/>
      <c r="C25" s="56"/>
      <c r="D25" s="52"/>
      <c r="E25" s="52"/>
      <c r="F25" s="52"/>
      <c r="G25" s="52"/>
      <c r="H25" s="52"/>
      <c r="I25" s="65"/>
    </row>
    <row r="26" spans="2:9" s="1" customFormat="1" ht="15.5" customHeight="1" x14ac:dyDescent="0.35">
      <c r="B26" s="28">
        <v>16</v>
      </c>
      <c r="C26" s="31" t="s">
        <v>1</v>
      </c>
      <c r="D26" s="51">
        <v>6054</v>
      </c>
      <c r="E26" s="10">
        <v>6201</v>
      </c>
      <c r="F26" s="10">
        <v>6630</v>
      </c>
      <c r="G26" s="10">
        <v>7697</v>
      </c>
      <c r="H26" s="17">
        <v>6273</v>
      </c>
      <c r="I26" s="46">
        <f t="shared" si="0"/>
        <v>6571</v>
      </c>
    </row>
    <row r="27" spans="2:9" s="1" customFormat="1" ht="15.5" customHeight="1" x14ac:dyDescent="0.35">
      <c r="B27" s="37"/>
      <c r="C27" s="38"/>
      <c r="D27" s="39">
        <v>74444287</v>
      </c>
      <c r="E27" s="8">
        <v>106281970</v>
      </c>
      <c r="F27" s="8">
        <v>121554377</v>
      </c>
      <c r="G27" s="8">
        <v>97810478</v>
      </c>
      <c r="H27" s="40">
        <v>81107249</v>
      </c>
      <c r="I27" s="41">
        <f t="shared" si="0"/>
        <v>96239672.200000003</v>
      </c>
    </row>
    <row r="28" spans="2:9" s="1" customFormat="1" ht="15.5" customHeight="1" x14ac:dyDescent="0.35">
      <c r="B28" s="53"/>
      <c r="C28" s="54"/>
      <c r="D28" s="35"/>
      <c r="E28" s="35"/>
      <c r="F28" s="35"/>
      <c r="G28" s="35"/>
      <c r="H28" s="35"/>
      <c r="I28" s="23"/>
    </row>
    <row r="29" spans="2:9" s="1" customFormat="1" ht="15.5" customHeight="1" x14ac:dyDescent="0.35">
      <c r="B29" s="42">
        <v>16</v>
      </c>
      <c r="C29" s="43" t="s">
        <v>2</v>
      </c>
      <c r="D29" s="44">
        <v>5446</v>
      </c>
      <c r="E29" s="36">
        <v>5141</v>
      </c>
      <c r="F29" s="36">
        <v>5410</v>
      </c>
      <c r="G29" s="36">
        <v>6629</v>
      </c>
      <c r="H29" s="45">
        <v>9822</v>
      </c>
      <c r="I29" s="64">
        <f t="shared" si="0"/>
        <v>6489.6</v>
      </c>
    </row>
    <row r="30" spans="2:9" s="1" customFormat="1" ht="15.5" customHeight="1" x14ac:dyDescent="0.35">
      <c r="B30" s="47"/>
      <c r="C30" s="48"/>
      <c r="D30" s="49">
        <v>19049520</v>
      </c>
      <c r="E30" s="7">
        <v>18060635</v>
      </c>
      <c r="F30" s="7">
        <v>19243755</v>
      </c>
      <c r="G30" s="7">
        <v>19554301</v>
      </c>
      <c r="H30" s="50">
        <v>22787666</v>
      </c>
      <c r="I30" s="66">
        <f t="shared" si="0"/>
        <v>19739175.399999999</v>
      </c>
    </row>
    <row r="31" spans="2:9" s="1" customFormat="1" ht="15.5" customHeight="1" x14ac:dyDescent="0.35">
      <c r="B31" s="55"/>
      <c r="C31" s="56"/>
      <c r="D31" s="52"/>
      <c r="E31" s="52"/>
      <c r="F31" s="52"/>
      <c r="G31" s="52"/>
      <c r="H31" s="52"/>
      <c r="I31" s="65"/>
    </row>
    <row r="32" spans="2:9" s="1" customFormat="1" ht="15.5" customHeight="1" x14ac:dyDescent="0.35">
      <c r="B32" s="28">
        <v>32</v>
      </c>
      <c r="C32" s="31" t="s">
        <v>1</v>
      </c>
      <c r="D32" s="51">
        <v>21387</v>
      </c>
      <c r="E32" s="10">
        <v>28833</v>
      </c>
      <c r="F32" s="10">
        <v>43800</v>
      </c>
      <c r="G32" s="10">
        <v>32889</v>
      </c>
      <c r="H32" s="17">
        <v>40206</v>
      </c>
      <c r="I32" s="46">
        <f t="shared" si="0"/>
        <v>33423</v>
      </c>
    </row>
    <row r="33" spans="1:9" s="1" customFormat="1" ht="15.5" customHeight="1" x14ac:dyDescent="0.35">
      <c r="B33" s="37"/>
      <c r="C33" s="38"/>
      <c r="D33" s="39">
        <v>374156605</v>
      </c>
      <c r="E33" s="8">
        <v>400245655</v>
      </c>
      <c r="F33" s="8">
        <v>411841211</v>
      </c>
      <c r="G33" s="8">
        <v>358964408</v>
      </c>
      <c r="H33" s="40">
        <v>360398381</v>
      </c>
      <c r="I33" s="41">
        <f t="shared" si="0"/>
        <v>381121252</v>
      </c>
    </row>
    <row r="34" spans="1:9" s="1" customFormat="1" ht="15.5" customHeight="1" x14ac:dyDescent="0.35">
      <c r="B34" s="53"/>
      <c r="C34" s="54"/>
      <c r="D34" s="35"/>
      <c r="E34" s="35"/>
      <c r="F34" s="35"/>
      <c r="G34" s="35"/>
      <c r="H34" s="35"/>
      <c r="I34" s="23"/>
    </row>
    <row r="35" spans="1:9" s="1" customFormat="1" ht="15.5" customHeight="1" x14ac:dyDescent="0.35">
      <c r="B35" s="42">
        <v>32</v>
      </c>
      <c r="C35" s="43" t="s">
        <v>2</v>
      </c>
      <c r="D35" s="44">
        <v>23483</v>
      </c>
      <c r="E35" s="36">
        <v>31702</v>
      </c>
      <c r="F35" s="36">
        <v>33795</v>
      </c>
      <c r="G35" s="36">
        <v>38520</v>
      </c>
      <c r="H35" s="45">
        <v>25406</v>
      </c>
      <c r="I35" s="64">
        <f t="shared" si="0"/>
        <v>30581.200000000001</v>
      </c>
    </row>
    <row r="36" spans="1:9" s="1" customFormat="1" ht="15.5" customHeight="1" thickBot="1" x14ac:dyDescent="0.4">
      <c r="B36" s="15"/>
      <c r="C36" s="34"/>
      <c r="D36" s="27">
        <v>37140883</v>
      </c>
      <c r="E36" s="16">
        <v>39016457</v>
      </c>
      <c r="F36" s="16">
        <v>38273955</v>
      </c>
      <c r="G36" s="16">
        <v>40640198</v>
      </c>
      <c r="H36" s="20">
        <v>37709528</v>
      </c>
      <c r="I36" s="67">
        <f t="shared" si="0"/>
        <v>38556204.200000003</v>
      </c>
    </row>
    <row r="37" spans="1:9" s="1" customFormat="1" ht="15.5" customHeight="1" x14ac:dyDescent="0.35">
      <c r="B37" s="12"/>
      <c r="C37" s="12"/>
      <c r="D37" s="12"/>
      <c r="E37" s="12"/>
      <c r="F37" s="12"/>
      <c r="G37" s="12"/>
      <c r="H37" s="12"/>
      <c r="I37" s="12"/>
    </row>
    <row r="38" spans="1:9" x14ac:dyDescent="0.35">
      <c r="A38" s="1"/>
    </row>
    <row r="39" spans="1:9" x14ac:dyDescent="0.35">
      <c r="A39" s="1"/>
      <c r="D39" s="1"/>
    </row>
    <row r="40" spans="1:9" x14ac:dyDescent="0.35">
      <c r="A40" s="1"/>
      <c r="E40" s="6"/>
    </row>
    <row r="41" spans="1:9" x14ac:dyDescent="0.35">
      <c r="A41" s="1"/>
      <c r="G41" s="1"/>
    </row>
    <row r="42" spans="1:9" x14ac:dyDescent="0.35">
      <c r="A42" s="1"/>
    </row>
  </sheetData>
  <mergeCells count="4">
    <mergeCell ref="D6:H6"/>
    <mergeCell ref="B6:C6"/>
    <mergeCell ref="E4:G4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Task3 ContentionExperiment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2026-09-07T09:34:26Z</dcterms:modified>
</cp:coreProperties>
</file>