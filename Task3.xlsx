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Task3 ContentionExperimen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I11" i="1"/>
  <c r="I12" i="1"/>
  <c r="I14" i="1"/>
  <c r="I15" i="1"/>
  <c r="I17" i="1"/>
  <c r="I18" i="1"/>
  <c r="I20" i="1"/>
  <c r="I21" i="1"/>
  <c r="I23" i="1"/>
  <c r="I24" i="1"/>
  <c r="I26" i="1"/>
  <c r="I27" i="1"/>
  <c r="I29" i="1"/>
  <c r="I30" i="1"/>
  <c r="I32" i="1"/>
  <c r="I33" i="1"/>
  <c r="I35" i="1"/>
  <c r="I36" i="1"/>
  <c r="I8" i="1"/>
</calcChain>
</file>

<file path=xl/sharedStrings.xml><?xml version="1.0" encoding="utf-8"?>
<sst xmlns="http://schemas.openxmlformats.org/spreadsheetml/2006/main" count="24" uniqueCount="16">
  <si>
    <t>Threads</t>
  </si>
  <si>
    <t>TAS</t>
  </si>
  <si>
    <t>TTAS</t>
  </si>
  <si>
    <t>run 1</t>
  </si>
  <si>
    <t>run 2</t>
  </si>
  <si>
    <t>run 3</t>
  </si>
  <si>
    <t>run 4</t>
  </si>
  <si>
    <t>run 5</t>
  </si>
  <si>
    <t>CONTENTION EXPERIMENT</t>
  </si>
  <si>
    <t xml:space="preserve">Student Names and Numbers: </t>
  </si>
  <si>
    <t>Kiara Ajodhaparsadh  (u25395344)</t>
  </si>
  <si>
    <t>Execution Time&amp; TestAndSet Calls</t>
  </si>
  <si>
    <t>Average</t>
  </si>
  <si>
    <t>Ajba Patel  (u25316584)</t>
  </si>
  <si>
    <t>Lesedi Shelile  (u25110455)</t>
  </si>
  <si>
    <t>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</si>
</sst>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5" borderId="0" xfId="0" applyFill="1"/>
    <xf numFmtId="0" fontId="1" fillId="0" borderId="0" xfId="0" applyFont="1" applyAlignment="1"/>
    <xf numFmtId="0" fontId="0" fillId="2" borderId="4" xfId="0" applyFill="1" applyBorder="1"/>
    <xf numFmtId="0" fontId="0" fillId="4" borderId="4" xfId="0" applyFill="1" applyBorder="1"/>
    <xf numFmtId="0" fontId="2" fillId="3" borderId="4" xfId="0" applyFont="1" applyFill="1" applyBorder="1"/>
    <xf numFmtId="0" fontId="0" fillId="0" borderId="0" xfId="0" applyBorder="1"/>
    <xf numFmtId="0" fontId="0" fillId="2" borderId="8" xfId="0" applyFill="1" applyBorder="1"/>
    <xf numFmtId="0" fontId="0" fillId="4" borderId="8" xfId="0" applyFill="1" applyBorder="1"/>
    <xf numFmtId="0" fontId="2" fillId="3" borderId="5" xfId="0" applyFont="1" applyFill="1" applyBorder="1"/>
    <xf numFmtId="0" fontId="0" fillId="4" borderId="9" xfId="0" applyFill="1" applyBorder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/>
    <xf numFmtId="0" fontId="0" fillId="5" borderId="0" xfId="0" applyFill="1" applyBorder="1"/>
    <xf numFmtId="0" fontId="2" fillId="3" borderId="11" xfId="0" applyFont="1" applyFill="1" applyBorder="1" applyAlignment="1">
      <alignment horizontal="center"/>
    </xf>
    <xf numFmtId="0" fontId="0" fillId="4" borderId="12" xfId="0" applyFill="1" applyBorder="1"/>
    <xf numFmtId="0" fontId="0" fillId="2" borderId="12" xfId="0" applyFill="1" applyBorder="1"/>
    <xf numFmtId="0" fontId="0" fillId="2" borderId="14" xfId="0" applyFill="1" applyBorder="1"/>
    <xf numFmtId="0" fontId="0" fillId="2" borderId="15" xfId="0" applyFill="1" applyBorder="1"/>
    <xf numFmtId="0" fontId="2" fillId="3" borderId="2" xfId="0" applyFont="1" applyFill="1" applyBorder="1" applyAlignment="1">
      <alignment horizontal="center"/>
    </xf>
    <xf numFmtId="0" fontId="0" fillId="4" borderId="17" xfId="0" applyFill="1" applyBorder="1"/>
    <xf numFmtId="0" fontId="0" fillId="4" borderId="5" xfId="0" applyFill="1" applyBorder="1"/>
    <xf numFmtId="0" fontId="0" fillId="2" borderId="5" xfId="0" applyFill="1" applyBorder="1"/>
    <xf numFmtId="0" fontId="0" fillId="2" borderId="18" xfId="0" applyFill="1" applyBorder="1"/>
    <xf numFmtId="0" fontId="2" fillId="3" borderId="19" xfId="0" applyFont="1" applyFill="1" applyBorder="1"/>
    <xf numFmtId="0" fontId="2" fillId="3" borderId="20" xfId="0" applyFont="1" applyFill="1" applyBorder="1"/>
    <xf numFmtId="0" fontId="0" fillId="4" borderId="20" xfId="0" applyFill="1" applyBorder="1"/>
    <xf numFmtId="0" fontId="0" fillId="4" borderId="21" xfId="0" applyFill="1" applyBorder="1"/>
    <xf numFmtId="0" fontId="2" fillId="3" borderId="7" xfId="0" applyFont="1" applyFill="1" applyBorder="1"/>
    <xf numFmtId="0" fontId="0" fillId="4" borderId="7" xfId="0" applyFill="1" applyBorder="1"/>
    <xf numFmtId="0" fontId="0" fillId="2" borderId="7" xfId="0" applyFill="1" applyBorder="1"/>
    <xf numFmtId="0" fontId="0" fillId="2" borderId="22" xfId="0" applyFill="1" applyBorder="1"/>
    <xf numFmtId="0" fontId="2" fillId="3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4" borderId="23" xfId="0" applyFill="1" applyBorder="1"/>
    <xf numFmtId="0" fontId="2" fillId="3" borderId="26" xfId="0" applyFont="1" applyFill="1" applyBorder="1"/>
    <xf numFmtId="0" fontId="2" fillId="3" borderId="27" xfId="0" applyFont="1" applyFill="1" applyBorder="1"/>
    <xf numFmtId="0" fontId="1" fillId="4" borderId="24" xfId="0" applyFont="1" applyFill="1" applyBorder="1"/>
    <xf numFmtId="0" fontId="1" fillId="4" borderId="13" xfId="0" applyFont="1" applyFill="1" applyBorder="1"/>
    <xf numFmtId="0" fontId="1" fillId="2" borderId="13" xfId="0" applyFont="1" applyFill="1" applyBorder="1"/>
    <xf numFmtId="0" fontId="1" fillId="2" borderId="16" xfId="0" applyFont="1" applyFill="1" applyBorder="1"/>
    <xf numFmtId="0" fontId="0" fillId="4" borderId="6" xfId="0" applyFill="1" applyBorder="1"/>
    <xf numFmtId="0" fontId="0" fillId="2" borderId="9" xfId="0" applyFill="1" applyBorder="1"/>
    <xf numFmtId="0" fontId="0" fillId="4" borderId="28" xfId="0" applyFill="1" applyBorder="1"/>
    <xf numFmtId="0" fontId="1" fillId="4" borderId="29" xfId="0" applyFont="1" applyFill="1" applyBorder="1"/>
    <xf numFmtId="0" fontId="0" fillId="4" borderId="10" xfId="0" applyFill="1" applyBorder="1"/>
    <xf numFmtId="0" fontId="0" fillId="4" borderId="30" xfId="0" applyFill="1" applyBorder="1"/>
    <xf numFmtId="0" fontId="0" fillId="4" borderId="31" xfId="0" applyFill="1" applyBorder="1"/>
    <xf numFmtId="0" fontId="0" fillId="2" borderId="23" xfId="0" applyFill="1" applyBorder="1"/>
    <xf numFmtId="0" fontId="1" fillId="2" borderId="24" xfId="0" applyFont="1" applyFill="1" applyBorder="1"/>
    <xf numFmtId="0" fontId="0" fillId="2" borderId="25" xfId="0" applyFill="1" applyBorder="1"/>
    <xf numFmtId="0" fontId="0" fillId="2" borderId="17" xfId="0" applyFill="1" applyBorder="1"/>
    <xf numFmtId="0" fontId="0" fillId="4" borderId="32" xfId="0" applyFill="1" applyBorder="1"/>
    <xf numFmtId="0" fontId="0" fillId="2" borderId="28" xfId="0" applyFill="1" applyBorder="1"/>
    <xf numFmtId="0" fontId="1" fillId="2" borderId="29" xfId="0" applyFont="1" applyFill="1" applyBorder="1"/>
    <xf numFmtId="0" fontId="0" fillId="2" borderId="10" xfId="0" applyFill="1" applyBorder="1"/>
    <xf numFmtId="0" fontId="0" fillId="2" borderId="30" xfId="0" applyFill="1" applyBorder="1"/>
    <xf numFmtId="0" fontId="0" fillId="4" borderId="25" xfId="0" applyFill="1" applyBorder="1"/>
    <xf numFmtId="0" fontId="0" fillId="2" borderId="6" xfId="0" applyFill="1" applyBorder="1"/>
    <xf numFmtId="0" fontId="0" fillId="4" borderId="33" xfId="0" applyFill="1" applyBorder="1"/>
    <xf numFmtId="0" fontId="1" fillId="4" borderId="34" xfId="0" applyFont="1" applyFill="1" applyBorder="1"/>
    <xf numFmtId="0" fontId="0" fillId="2" borderId="33" xfId="0" applyFill="1" applyBorder="1"/>
    <xf numFmtId="0" fontId="1" fillId="2" borderId="3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showGridLines="0" tabSelected="1" zoomScale="55" workbookViewId="0">
      <selection activeCell="M42" sqref="M42"/>
    </sheetView>
  </sheetViews>
  <sheetFormatPr defaultRowHeight="14.5" x14ac:dyDescent="0.35"/>
  <cols>
    <col min="1" max="1" width="3.7265625" customWidth="1"/>
    <col min="2" max="2" width="11.08984375" customWidth="1"/>
    <col min="3" max="3" width="9.81640625" customWidth="1"/>
    <col min="4" max="5" width="8.7265625" customWidth="1"/>
    <col min="6" max="6" width="11.7265625" bestFit="1" customWidth="1"/>
    <col min="7" max="8" width="10.54296875" bestFit="1" customWidth="1"/>
    <col min="9" max="9" width="31.453125" style="1" bestFit="1" customWidth="1"/>
    <col min="10" max="10" width="3.453125" customWidth="1"/>
  </cols>
  <sheetData>
    <row r="1" spans="2:13" x14ac:dyDescent="0.35">
      <c r="B1" s="2" t="s">
        <v>8</v>
      </c>
      <c r="C1" s="2"/>
      <c r="D1" s="2"/>
    </row>
    <row r="2" spans="2:13" x14ac:dyDescent="0.35">
      <c r="B2" t="s">
        <v>9</v>
      </c>
      <c r="E2" s="11" t="s">
        <v>10</v>
      </c>
      <c r="F2" s="11"/>
      <c r="G2" s="11"/>
    </row>
    <row r="3" spans="2:13" x14ac:dyDescent="0.35">
      <c r="E3" s="12" t="s">
        <v>13</v>
      </c>
      <c r="F3" s="12"/>
      <c r="G3" s="12"/>
    </row>
    <row r="4" spans="2:13" x14ac:dyDescent="0.35">
      <c r="E4" s="13" t="s">
        <v>14</v>
      </c>
      <c r="F4" s="13"/>
      <c r="G4" s="13"/>
    </row>
    <row r="5" spans="2:13" ht="15" thickBot="1" x14ac:dyDescent="0.4"/>
    <row r="6" spans="2:13" s="1" customFormat="1" ht="15.5" customHeight="1" x14ac:dyDescent="0.35">
      <c r="B6" s="33"/>
      <c r="C6" s="34"/>
      <c r="D6" s="15" t="s">
        <v>11</v>
      </c>
      <c r="E6" s="15"/>
      <c r="F6" s="15"/>
      <c r="G6" s="15"/>
      <c r="H6" s="20"/>
      <c r="I6" s="25" t="s">
        <v>12</v>
      </c>
    </row>
    <row r="7" spans="2:13" s="1" customFormat="1" ht="15.5" customHeight="1" x14ac:dyDescent="0.35">
      <c r="B7" s="36" t="s">
        <v>0</v>
      </c>
      <c r="C7" s="37" t="s">
        <v>15</v>
      </c>
      <c r="D7" s="29" t="s">
        <v>3</v>
      </c>
      <c r="E7" s="5" t="s">
        <v>4</v>
      </c>
      <c r="F7" s="5" t="s">
        <v>5</v>
      </c>
      <c r="G7" s="9" t="s">
        <v>6</v>
      </c>
      <c r="H7" s="9" t="s">
        <v>7</v>
      </c>
      <c r="I7" s="26"/>
    </row>
    <row r="8" spans="2:13" s="1" customFormat="1" ht="15.5" customHeight="1" x14ac:dyDescent="0.35">
      <c r="B8" s="35">
        <v>2</v>
      </c>
      <c r="C8" s="38" t="s">
        <v>1</v>
      </c>
      <c r="D8" s="30">
        <v>118</v>
      </c>
      <c r="E8" s="4">
        <v>131</v>
      </c>
      <c r="F8" s="4">
        <v>111</v>
      </c>
      <c r="G8" s="4">
        <v>216</v>
      </c>
      <c r="H8" s="21">
        <v>95</v>
      </c>
      <c r="I8" s="27">
        <f>AVERAGE(D8:H8)</f>
        <v>134.19999999999999</v>
      </c>
    </row>
    <row r="9" spans="2:13" s="1" customFormat="1" ht="15.5" customHeight="1" x14ac:dyDescent="0.35">
      <c r="B9" s="44"/>
      <c r="C9" s="45"/>
      <c r="D9" s="46">
        <v>2879765</v>
      </c>
      <c r="E9" s="8">
        <v>2758430</v>
      </c>
      <c r="F9" s="8">
        <v>2561198</v>
      </c>
      <c r="G9" s="8">
        <v>2983418</v>
      </c>
      <c r="H9" s="47">
        <v>2526083</v>
      </c>
      <c r="I9" s="48">
        <f t="shared" ref="I9:I36" si="0">AVERAGE(D9:H9)</f>
        <v>2741778.8</v>
      </c>
    </row>
    <row r="10" spans="2:13" s="1" customFormat="1" ht="15.5" customHeight="1" x14ac:dyDescent="0.35">
      <c r="B10" s="60"/>
      <c r="C10" s="61"/>
      <c r="D10" s="42"/>
      <c r="E10" s="42"/>
      <c r="F10" s="42"/>
      <c r="G10" s="42"/>
      <c r="H10" s="42"/>
      <c r="I10" s="27"/>
    </row>
    <row r="11" spans="2:13" s="1" customFormat="1" ht="15.5" customHeight="1" x14ac:dyDescent="0.35">
      <c r="B11" s="49">
        <v>2</v>
      </c>
      <c r="C11" s="50" t="s">
        <v>2</v>
      </c>
      <c r="D11" s="51">
        <v>107</v>
      </c>
      <c r="E11" s="43">
        <v>92</v>
      </c>
      <c r="F11" s="43">
        <v>108</v>
      </c>
      <c r="G11" s="43">
        <v>77</v>
      </c>
      <c r="H11" s="52">
        <v>111</v>
      </c>
      <c r="I11" s="53">
        <f t="shared" si="0"/>
        <v>99</v>
      </c>
    </row>
    <row r="12" spans="2:13" s="1" customFormat="1" ht="15.5" customHeight="1" x14ac:dyDescent="0.35">
      <c r="B12" s="17"/>
      <c r="C12" s="40"/>
      <c r="D12" s="31">
        <v>2063286</v>
      </c>
      <c r="E12" s="3">
        <v>2054155</v>
      </c>
      <c r="F12" s="3">
        <v>2069998</v>
      </c>
      <c r="G12" s="3">
        <v>2000523</v>
      </c>
      <c r="H12" s="23">
        <v>2102774</v>
      </c>
      <c r="I12" s="27">
        <f t="shared" si="0"/>
        <v>2058147.2</v>
      </c>
    </row>
    <row r="13" spans="2:13" s="1" customFormat="1" ht="15.5" customHeight="1" x14ac:dyDescent="0.35">
      <c r="B13" s="17"/>
      <c r="C13" s="40"/>
      <c r="D13" s="31"/>
      <c r="E13" s="3"/>
      <c r="F13" s="3"/>
      <c r="G13" s="3"/>
      <c r="H13" s="23"/>
      <c r="I13" s="27"/>
    </row>
    <row r="14" spans="2:13" s="1" customFormat="1" ht="15.5" customHeight="1" x14ac:dyDescent="0.35">
      <c r="B14" s="16">
        <v>4</v>
      </c>
      <c r="C14" s="39" t="s">
        <v>1</v>
      </c>
      <c r="D14" s="30">
        <v>537</v>
      </c>
      <c r="E14" s="4">
        <v>535</v>
      </c>
      <c r="F14" s="4">
        <v>525</v>
      </c>
      <c r="G14" s="4">
        <v>416</v>
      </c>
      <c r="H14" s="22">
        <v>481</v>
      </c>
      <c r="I14" s="27">
        <f t="shared" si="0"/>
        <v>498.8</v>
      </c>
      <c r="M14" s="14"/>
    </row>
    <row r="15" spans="2:13" s="1" customFormat="1" ht="15.5" customHeight="1" x14ac:dyDescent="0.35">
      <c r="B15" s="44"/>
      <c r="C15" s="45"/>
      <c r="D15" s="46">
        <v>9732019</v>
      </c>
      <c r="E15" s="8">
        <v>9177202</v>
      </c>
      <c r="F15" s="8">
        <v>9764220</v>
      </c>
      <c r="G15" s="8">
        <v>10330689</v>
      </c>
      <c r="H15" s="47">
        <v>10626332</v>
      </c>
      <c r="I15" s="48">
        <f t="shared" si="0"/>
        <v>9926092.4000000004</v>
      </c>
    </row>
    <row r="16" spans="2:13" s="1" customFormat="1" ht="15.5" customHeight="1" x14ac:dyDescent="0.35">
      <c r="B16" s="60"/>
      <c r="C16" s="61"/>
      <c r="D16" s="42"/>
      <c r="E16" s="42"/>
      <c r="F16" s="42"/>
      <c r="G16" s="42"/>
      <c r="H16" s="42"/>
      <c r="I16" s="27"/>
    </row>
    <row r="17" spans="2:9" s="1" customFormat="1" ht="15.5" customHeight="1" x14ac:dyDescent="0.35">
      <c r="B17" s="49">
        <v>4</v>
      </c>
      <c r="C17" s="50" t="s">
        <v>2</v>
      </c>
      <c r="D17" s="51">
        <v>491</v>
      </c>
      <c r="E17" s="43">
        <v>429</v>
      </c>
      <c r="F17" s="43">
        <v>578</v>
      </c>
      <c r="G17" s="43">
        <v>559</v>
      </c>
      <c r="H17" s="52">
        <v>613</v>
      </c>
      <c r="I17" s="53">
        <f t="shared" si="0"/>
        <v>534</v>
      </c>
    </row>
    <row r="18" spans="2:9" s="1" customFormat="1" ht="15.5" customHeight="1" x14ac:dyDescent="0.35">
      <c r="B18" s="54"/>
      <c r="C18" s="55"/>
      <c r="D18" s="56">
        <v>4861980</v>
      </c>
      <c r="E18" s="7">
        <v>5017683</v>
      </c>
      <c r="F18" s="7">
        <v>5106572</v>
      </c>
      <c r="G18" s="7">
        <v>5023726</v>
      </c>
      <c r="H18" s="57">
        <v>5138061</v>
      </c>
      <c r="I18" s="48">
        <f t="shared" si="0"/>
        <v>5029604.4000000004</v>
      </c>
    </row>
    <row r="19" spans="2:9" s="1" customFormat="1" ht="15.5" customHeight="1" x14ac:dyDescent="0.35">
      <c r="B19" s="62"/>
      <c r="C19" s="63"/>
      <c r="D19" s="59"/>
      <c r="E19" s="59"/>
      <c r="F19" s="59"/>
      <c r="G19" s="59"/>
      <c r="H19" s="59"/>
      <c r="I19" s="27"/>
    </row>
    <row r="20" spans="2:9" s="1" customFormat="1" ht="15.5" customHeight="1" x14ac:dyDescent="0.35">
      <c r="B20" s="35">
        <v>8</v>
      </c>
      <c r="C20" s="38" t="s">
        <v>1</v>
      </c>
      <c r="D20" s="58">
        <v>1171</v>
      </c>
      <c r="E20" s="10">
        <v>1561</v>
      </c>
      <c r="F20" s="10">
        <v>1629</v>
      </c>
      <c r="G20" s="10">
        <v>1338</v>
      </c>
      <c r="H20" s="21">
        <v>1455</v>
      </c>
      <c r="I20" s="53">
        <f t="shared" si="0"/>
        <v>1430.8</v>
      </c>
    </row>
    <row r="21" spans="2:9" s="1" customFormat="1" ht="15.5" customHeight="1" x14ac:dyDescent="0.35">
      <c r="B21" s="44"/>
      <c r="C21" s="45"/>
      <c r="D21" s="46">
        <v>21836867</v>
      </c>
      <c r="E21" s="8">
        <v>27221495</v>
      </c>
      <c r="F21" s="8">
        <v>29755323</v>
      </c>
      <c r="G21" s="8">
        <v>33177398</v>
      </c>
      <c r="H21" s="47">
        <v>37178724</v>
      </c>
      <c r="I21" s="48">
        <f t="shared" si="0"/>
        <v>29833961.399999999</v>
      </c>
    </row>
    <row r="22" spans="2:9" s="1" customFormat="1" ht="15.5" customHeight="1" x14ac:dyDescent="0.35">
      <c r="B22" s="60"/>
      <c r="C22" s="61"/>
      <c r="D22" s="42"/>
      <c r="E22" s="42"/>
      <c r="F22" s="42"/>
      <c r="G22" s="42"/>
      <c r="H22" s="42"/>
      <c r="I22" s="27"/>
    </row>
    <row r="23" spans="2:9" s="1" customFormat="1" ht="15.5" customHeight="1" x14ac:dyDescent="0.35">
      <c r="B23" s="49">
        <v>8</v>
      </c>
      <c r="C23" s="50" t="s">
        <v>2</v>
      </c>
      <c r="D23" s="51">
        <v>1787</v>
      </c>
      <c r="E23" s="43">
        <v>1463</v>
      </c>
      <c r="F23" s="43">
        <v>1880</v>
      </c>
      <c r="G23" s="43">
        <v>2250</v>
      </c>
      <c r="H23" s="52">
        <v>2031</v>
      </c>
      <c r="I23" s="53">
        <f t="shared" si="0"/>
        <v>1882.2</v>
      </c>
    </row>
    <row r="24" spans="2:9" s="1" customFormat="1" ht="15.5" customHeight="1" x14ac:dyDescent="0.35">
      <c r="B24" s="54"/>
      <c r="C24" s="55"/>
      <c r="D24" s="56">
        <v>10193496</v>
      </c>
      <c r="E24" s="7">
        <v>10597276</v>
      </c>
      <c r="F24" s="7">
        <v>10487150</v>
      </c>
      <c r="G24" s="7">
        <v>10800519</v>
      </c>
      <c r="H24" s="57">
        <v>11559756</v>
      </c>
      <c r="I24" s="48">
        <f t="shared" si="0"/>
        <v>10727639.4</v>
      </c>
    </row>
    <row r="25" spans="2:9" s="1" customFormat="1" ht="15.5" customHeight="1" x14ac:dyDescent="0.35">
      <c r="B25" s="62"/>
      <c r="C25" s="63"/>
      <c r="D25" s="59"/>
      <c r="E25" s="59"/>
      <c r="F25" s="59"/>
      <c r="G25" s="59"/>
      <c r="H25" s="59"/>
      <c r="I25" s="27"/>
    </row>
    <row r="26" spans="2:9" s="1" customFormat="1" ht="15.5" customHeight="1" x14ac:dyDescent="0.35">
      <c r="B26" s="35">
        <v>16</v>
      </c>
      <c r="C26" s="38" t="s">
        <v>1</v>
      </c>
      <c r="D26" s="58">
        <v>4400</v>
      </c>
      <c r="E26" s="10">
        <v>4752</v>
      </c>
      <c r="F26" s="10">
        <v>6408</v>
      </c>
      <c r="G26" s="10">
        <v>6347</v>
      </c>
      <c r="H26" s="21">
        <v>5614</v>
      </c>
      <c r="I26" s="53">
        <f t="shared" si="0"/>
        <v>5504.2</v>
      </c>
    </row>
    <row r="27" spans="2:9" s="1" customFormat="1" ht="15.5" customHeight="1" x14ac:dyDescent="0.35">
      <c r="B27" s="44"/>
      <c r="C27" s="45"/>
      <c r="D27" s="46">
        <v>74583480</v>
      </c>
      <c r="E27" s="8">
        <v>101658264</v>
      </c>
      <c r="F27" s="8">
        <v>132908773</v>
      </c>
      <c r="G27" s="8">
        <v>95751567</v>
      </c>
      <c r="H27" s="47">
        <v>81107249</v>
      </c>
      <c r="I27" s="48">
        <f t="shared" si="0"/>
        <v>97201866.599999994</v>
      </c>
    </row>
    <row r="28" spans="2:9" s="1" customFormat="1" ht="15.5" customHeight="1" x14ac:dyDescent="0.35">
      <c r="B28" s="60"/>
      <c r="C28" s="61"/>
      <c r="D28" s="42"/>
      <c r="E28" s="42"/>
      <c r="F28" s="42"/>
      <c r="G28" s="42"/>
      <c r="H28" s="42"/>
      <c r="I28" s="27"/>
    </row>
    <row r="29" spans="2:9" s="1" customFormat="1" ht="15.5" customHeight="1" x14ac:dyDescent="0.35">
      <c r="B29" s="49">
        <v>16</v>
      </c>
      <c r="C29" s="50" t="s">
        <v>2</v>
      </c>
      <c r="D29" s="51">
        <v>5283</v>
      </c>
      <c r="E29" s="43">
        <v>6594</v>
      </c>
      <c r="F29" s="43">
        <v>6776</v>
      </c>
      <c r="G29" s="43">
        <v>6130</v>
      </c>
      <c r="H29" s="52">
        <v>6286</v>
      </c>
      <c r="I29" s="53">
        <f t="shared" si="0"/>
        <v>6213.8</v>
      </c>
    </row>
    <row r="30" spans="2:9" s="1" customFormat="1" ht="15.5" customHeight="1" x14ac:dyDescent="0.35">
      <c r="B30" s="54"/>
      <c r="C30" s="55"/>
      <c r="D30" s="56">
        <v>22616980</v>
      </c>
      <c r="E30" s="7">
        <v>20835000</v>
      </c>
      <c r="F30" s="7">
        <v>21089070</v>
      </c>
      <c r="G30" s="7">
        <v>20441441</v>
      </c>
      <c r="H30" s="57">
        <v>19746192</v>
      </c>
      <c r="I30" s="48">
        <f t="shared" si="0"/>
        <v>20945736.600000001</v>
      </c>
    </row>
    <row r="31" spans="2:9" s="1" customFormat="1" ht="15.5" customHeight="1" x14ac:dyDescent="0.35">
      <c r="B31" s="62"/>
      <c r="C31" s="63"/>
      <c r="D31" s="59"/>
      <c r="E31" s="59"/>
      <c r="F31" s="59"/>
      <c r="G31" s="59"/>
      <c r="H31" s="59"/>
      <c r="I31" s="27"/>
    </row>
    <row r="32" spans="2:9" s="1" customFormat="1" ht="15.5" customHeight="1" x14ac:dyDescent="0.35">
      <c r="B32" s="35">
        <v>32</v>
      </c>
      <c r="C32" s="38" t="s">
        <v>1</v>
      </c>
      <c r="D32" s="51">
        <v>21060</v>
      </c>
      <c r="E32" s="43">
        <v>23017</v>
      </c>
      <c r="F32" s="43">
        <v>26062</v>
      </c>
      <c r="G32" s="43">
        <v>25857</v>
      </c>
      <c r="H32" s="52">
        <v>25678</v>
      </c>
      <c r="I32" s="53">
        <f t="shared" si="0"/>
        <v>24334.799999999999</v>
      </c>
    </row>
    <row r="33" spans="1:9" s="1" customFormat="1" ht="15.5" customHeight="1" x14ac:dyDescent="0.35">
      <c r="B33" s="44"/>
      <c r="C33" s="45"/>
      <c r="D33" s="56">
        <v>404994307</v>
      </c>
      <c r="E33" s="7">
        <v>307845962</v>
      </c>
      <c r="F33" s="7">
        <v>347747561</v>
      </c>
      <c r="G33" s="7">
        <v>365080671</v>
      </c>
      <c r="H33" s="57">
        <v>381790461</v>
      </c>
      <c r="I33" s="48">
        <f t="shared" si="0"/>
        <v>361491792.39999998</v>
      </c>
    </row>
    <row r="34" spans="1:9" s="1" customFormat="1" ht="15.5" customHeight="1" x14ac:dyDescent="0.35">
      <c r="B34" s="60"/>
      <c r="C34" s="61"/>
      <c r="D34" s="42"/>
      <c r="E34" s="42"/>
      <c r="F34" s="42"/>
      <c r="G34" s="42"/>
      <c r="H34" s="42"/>
      <c r="I34" s="27"/>
    </row>
    <row r="35" spans="1:9" s="1" customFormat="1" ht="15.5" customHeight="1" x14ac:dyDescent="0.35">
      <c r="B35" s="49">
        <v>32</v>
      </c>
      <c r="C35" s="50" t="s">
        <v>2</v>
      </c>
      <c r="D35" s="51">
        <v>20154</v>
      </c>
      <c r="E35" s="43">
        <v>21152</v>
      </c>
      <c r="F35" s="43">
        <v>24890</v>
      </c>
      <c r="G35" s="43">
        <v>21811</v>
      </c>
      <c r="H35" s="52">
        <v>19119</v>
      </c>
      <c r="I35" s="53">
        <f t="shared" si="0"/>
        <v>21425.200000000001</v>
      </c>
    </row>
    <row r="36" spans="1:9" s="1" customFormat="1" ht="15.5" customHeight="1" thickBot="1" x14ac:dyDescent="0.4">
      <c r="B36" s="18"/>
      <c r="C36" s="41"/>
      <c r="D36" s="32">
        <v>46791391</v>
      </c>
      <c r="E36" s="19">
        <v>41606051</v>
      </c>
      <c r="F36" s="19">
        <v>47928001</v>
      </c>
      <c r="G36" s="19">
        <v>39779875</v>
      </c>
      <c r="H36" s="24">
        <v>39764980</v>
      </c>
      <c r="I36" s="28">
        <f t="shared" si="0"/>
        <v>43174059.600000001</v>
      </c>
    </row>
    <row r="37" spans="1:9" s="1" customFormat="1" ht="15.5" customHeight="1" x14ac:dyDescent="0.35">
      <c r="B37" s="14"/>
      <c r="C37" s="14"/>
      <c r="D37" s="14"/>
      <c r="E37" s="14"/>
      <c r="F37" s="14"/>
      <c r="G37" s="14"/>
      <c r="H37" s="14"/>
      <c r="I37" s="14"/>
    </row>
    <row r="38" spans="1:9" x14ac:dyDescent="0.35">
      <c r="A38" s="1"/>
    </row>
    <row r="39" spans="1:9" x14ac:dyDescent="0.35">
      <c r="A39" s="1"/>
      <c r="D39" s="1"/>
    </row>
    <row r="40" spans="1:9" x14ac:dyDescent="0.35">
      <c r="A40" s="1"/>
      <c r="E40" s="6"/>
    </row>
    <row r="41" spans="1:9" x14ac:dyDescent="0.35">
      <c r="A41" s="1"/>
      <c r="G41" s="1"/>
    </row>
    <row r="42" spans="1:9" x14ac:dyDescent="0.35">
      <c r="A42" s="1"/>
    </row>
  </sheetData>
  <mergeCells count="4">
    <mergeCell ref="D6:H6"/>
    <mergeCell ref="B6:C6"/>
    <mergeCell ref="E2:G2"/>
    <mergeCell ref="E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Task3 ContentionExperiment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2026-09-05T18:49:53Z</dcterms:modified>
</cp:coreProperties>
</file>